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D2C7655DFD7B63D/"/>
    </mc:Choice>
  </mc:AlternateContent>
  <xr:revisionPtr revIDLastSave="271" documentId="8_{CC09D374-62BB-44CC-BB57-6CF099F4A106}" xr6:coauthVersionLast="47" xr6:coauthVersionMax="47" xr10:uidLastSave="{91241A01-4791-4E16-A318-5A9FC09922EA}"/>
  <bookViews>
    <workbookView xWindow="-110" yWindow="-110" windowWidth="19420" windowHeight="10300" xr2:uid="{DE754F36-E239-46C2-A6E0-3BEE23986580}"/>
  </bookViews>
  <sheets>
    <sheet name="Mensal" sheetId="1" r:id="rId1"/>
  </sheets>
  <definedNames>
    <definedName name="_xlnm._FilterDatabase" localSheetId="0" hidden="1">Mensal!$A$3:$M$24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8" i="1"/>
  <c r="I26" i="1"/>
  <c r="I28" i="1" s="1"/>
  <c r="C26" i="1"/>
  <c r="C28" i="1"/>
  <c r="M26" i="1"/>
  <c r="M28" i="1" s="1"/>
  <c r="L26" i="1"/>
  <c r="L28" i="1" s="1"/>
  <c r="K26" i="1"/>
  <c r="K28" i="1"/>
  <c r="J26" i="1"/>
  <c r="J28" i="1" s="1"/>
  <c r="H26" i="1"/>
  <c r="H28" i="1" s="1"/>
  <c r="G26" i="1"/>
  <c r="G28" i="1"/>
  <c r="F26" i="1"/>
  <c r="F28" i="1"/>
  <c r="E26" i="1"/>
  <c r="E28" i="1"/>
  <c r="B26" i="1"/>
  <c r="B28" i="1"/>
</calcChain>
</file>

<file path=xl/sharedStrings.xml><?xml version="1.0" encoding="utf-8"?>
<sst xmlns="http://schemas.openxmlformats.org/spreadsheetml/2006/main" count="36" uniqueCount="36">
  <si>
    <t>Despesa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</si>
  <si>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</si>
  <si>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</si>
  <si>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</si>
  <si>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</si>
  <si>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</si>
  <si>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</si>
  <si>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</si>
  <si>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</si>
  <si>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</si>
  <si>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</si>
  <si>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</si>
  <si>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</si>
  <si>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CARREFOUR</t>
  </si>
  <si>
    <t>MERCADO PAGO</t>
  </si>
  <si>
    <t>LIVROS ISABELA</t>
  </si>
  <si>
    <t>Celular Raissa</t>
  </si>
  <si>
    <t>VAN ISABELA</t>
  </si>
  <si>
    <t>MATRICULA ISABELA</t>
  </si>
  <si>
    <t>ESCOLA ISABELA</t>
  </si>
  <si>
    <t>PARCELA CARRO</t>
  </si>
  <si>
    <t>IPVA ANDRE</t>
  </si>
  <si>
    <t>GASTOS ANDRE ***</t>
  </si>
  <si>
    <t>Total gasto por mês</t>
  </si>
  <si>
    <t>Renda por mês</t>
  </si>
  <si>
    <t>Sobra por mês</t>
  </si>
  <si>
    <t>AGUA</t>
  </si>
  <si>
    <t>LUZ</t>
  </si>
  <si>
    <t>ALARME</t>
  </si>
  <si>
    <t>IPVA RAISSA</t>
  </si>
  <si>
    <t>IMPOSTO ANUAL</t>
  </si>
  <si>
    <t>GASTOS FIXOS MP</t>
  </si>
  <si>
    <t>FILTRO DE AGUA + SOFA</t>
  </si>
  <si>
    <t>Emprestimo MP</t>
  </si>
  <si>
    <t>INTERNET VIVO</t>
  </si>
  <si>
    <t>Faculdade 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</si>
</sst>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u/>
      <sz val="11"/>
      <color theme="1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1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164" fontId="3" fillId="0" borderId="0" xfId="0" applyNumberFormat="1" applyFont="1"/>
    <xf numFmtId="164" fontId="3" fillId="0" borderId="0" xfId="1" applyNumberFormat="1" applyFont="1" applyBorder="1"/>
    <xf numFmtId="164" fontId="2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3" borderId="0" xfId="0" applyFont="1" applyFill="1"/>
    <xf numFmtId="164" fontId="3" fillId="3" borderId="0" xfId="0" applyNumberFormat="1" applyFont="1" applyFill="1"/>
    <xf numFmtId="164" fontId="3" fillId="3" borderId="0" xfId="1" applyNumberFormat="1" applyFont="1" applyFill="1" applyBorder="1"/>
    <xf numFmtId="0" fontId="5" fillId="3" borderId="0" xfId="0" applyFont="1" applyFill="1"/>
    <xf numFmtId="0" fontId="2" fillId="2" borderId="1" xfId="0" applyFont="1" applyFill="1" applyBorder="1" applyAlignment="1">
      <alignment horizontal="center" vertical="center"/>
    </xf>
    <xf numFmtId="164" fontId="3" fillId="0" borderId="1" xfId="1" applyNumberFormat="1" applyFont="1" applyFill="1" applyBorder="1"/>
    <xf numFmtId="164" fontId="3" fillId="4" borderId="1" xfId="1" applyNumberFormat="1" applyFont="1" applyFill="1" applyBorder="1"/>
    <xf numFmtId="0" fontId="6" fillId="3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1217448</xdr:colOff>
      <xdr:row>0</xdr:row>
      <xdr:rowOff>0</xdr:rowOff>
    </xdr:from>
    <xdr:ext cx="5324037" cy="372241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EB26222D-3299-375A-8F4A-647E2D7BE55A}"/>
            </a:ext>
          </a:extLst>
        </xdr:cNvPr>
        <xdr:cNvSpPr/>
      </xdr:nvSpPr>
      <xdr:spPr>
        <a:xfrm>
          <a:off x="1217448" y="0"/>
          <a:ext cx="5324037" cy="372241"/>
        </a:xfrm>
        <a:prstGeom prst="rect">
          <a:avLst/>
        </a:prstGeom>
        <a:solidFill>
          <a:sysClr val="window" lastClr="FFFFFF"/>
        </a:solidFill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6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Despesas 2026</a:t>
          </a:r>
        </a:p>
        <a:p>
          <a:pPr algn="ctr"/>
          <a:endParaRPr lang="pt-BR" sz="16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pattFill prst="dkUpDiag">
              <a:fgClr>
                <a:schemeClr val="tx2"/>
              </a:fgClr>
              <a:bgClr>
                <a:schemeClr val="tx2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Fatia">
  <a:themeElements>
    <a:clrScheme name="Fatia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Fatia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Fatia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779D-3739-4CDD-8C77-77EF31E9A2E9}">
  <dimension ref="A1:M51"/>
  <sheetViews>
    <sheetView showGridLines="0" tabSelected="1" zoomScaleNormal="100" workbookViewId="0">
      <selection activeCell="J15" sqref="J15"/>
    </sheetView>
  </sheetViews>
  <sheetFormatPr defaultColWidth="9" defaultRowHeight="14" x14ac:dyDescent="0.3"/>
  <cols>
    <col min="1" max="1" width="21.5" style="1" customWidth="1"/>
    <col min="2" max="2" width="13.6640625" style="1" hidden="1" customWidth="1"/>
    <col min="3" max="8" width="13.25" style="1" hidden="1" customWidth="1"/>
    <col min="9" max="13" width="15.83203125" style="1" customWidth="1"/>
    <col min="14" max="16" width="10.9140625" style="1" bestFit="1" customWidth="1"/>
    <col min="17" max="19" width="10.83203125" style="1" bestFit="1" customWidth="1"/>
    <col min="20" max="26" width="9" style="1"/>
    <col min="27" max="27" width="10.83203125" style="1" bestFit="1" customWidth="1"/>
    <col min="28" max="16384" width="9" style="1"/>
  </cols>
  <sheetData>
    <row r="1" spans="1:13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3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</row>
    <row r="4" spans="1:13" x14ac:dyDescent="0.3">
      <c r="A4" s="2" t="s">
        <v>30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</row>
    <row r="5" spans="1:13" x14ac:dyDescent="0.3">
      <c r="A5" s="2" t="s">
        <v>13</v>
      </c>
      <c r="B5" s="14">
        <v>1544</v>
      </c>
      <c r="C5" s="14">
        <v>1999</v>
      </c>
      <c r="D5" s="14">
        <v>2890</v>
      </c>
      <c r="E5" s="14">
        <v>2595</v>
      </c>
      <c r="F5" s="14">
        <v>1860</v>
      </c>
      <c r="G5" s="14">
        <v>2260</v>
      </c>
      <c r="H5" s="14">
        <v>2965</v>
      </c>
      <c r="I5" s="14">
        <v>2700</v>
      </c>
      <c r="J5" s="14">
        <v>3400</v>
      </c>
      <c r="K5" s="13">
        <v>0</v>
      </c>
      <c r="L5" s="13">
        <v>0</v>
      </c>
      <c r="M5" s="13">
        <v>0</v>
      </c>
    </row>
    <row r="6" spans="1:13" x14ac:dyDescent="0.3">
      <c r="A6" s="2" t="s">
        <v>33</v>
      </c>
      <c r="B6" s="14">
        <v>262.2</v>
      </c>
      <c r="C6" s="14">
        <v>262.2</v>
      </c>
      <c r="D6" s="14">
        <v>262.2</v>
      </c>
      <c r="E6" s="14">
        <v>262.2</v>
      </c>
      <c r="F6" s="14">
        <v>262.2</v>
      </c>
      <c r="G6" s="13">
        <v>262.2</v>
      </c>
      <c r="H6" s="13">
        <v>0</v>
      </c>
      <c r="I6" s="13">
        <v>0</v>
      </c>
      <c r="J6" s="13">
        <v>0</v>
      </c>
      <c r="K6" s="13"/>
      <c r="L6" s="13">
        <v>0</v>
      </c>
      <c r="M6" s="13">
        <v>0</v>
      </c>
    </row>
    <row r="7" spans="1:13" x14ac:dyDescent="0.3">
      <c r="A7" s="2" t="s">
        <v>14</v>
      </c>
      <c r="B7" s="14">
        <v>3900</v>
      </c>
      <c r="C7" s="14">
        <v>4331</v>
      </c>
      <c r="D7" s="14">
        <v>4840</v>
      </c>
      <c r="E7" s="14">
        <v>4293</v>
      </c>
      <c r="F7" s="14">
        <v>4670</v>
      </c>
      <c r="G7" s="14">
        <v>4700</v>
      </c>
      <c r="H7" s="13">
        <v>0</v>
      </c>
      <c r="I7" s="14">
        <v>340</v>
      </c>
      <c r="J7" s="14">
        <v>1800</v>
      </c>
      <c r="K7" s="13">
        <v>340</v>
      </c>
      <c r="L7" s="13">
        <v>340</v>
      </c>
      <c r="M7" s="13">
        <v>340</v>
      </c>
    </row>
    <row r="8" spans="1:13" x14ac:dyDescent="0.3">
      <c r="A8" s="2" t="s">
        <v>34</v>
      </c>
      <c r="B8" s="13">
        <v>0</v>
      </c>
      <c r="C8" s="13">
        <v>0</v>
      </c>
      <c r="D8" s="13">
        <v>0</v>
      </c>
      <c r="E8" s="13">
        <v>0</v>
      </c>
      <c r="F8" s="14">
        <v>127.75</v>
      </c>
      <c r="G8" s="14">
        <v>160</v>
      </c>
      <c r="H8" s="14">
        <v>165</v>
      </c>
      <c r="I8" s="14">
        <v>165</v>
      </c>
      <c r="J8" s="14">
        <v>168</v>
      </c>
      <c r="K8" s="13">
        <v>165</v>
      </c>
      <c r="L8" s="13">
        <v>165</v>
      </c>
      <c r="M8" s="13">
        <v>165</v>
      </c>
    </row>
    <row r="9" spans="1:13" x14ac:dyDescent="0.3">
      <c r="A9" s="2" t="s">
        <v>16</v>
      </c>
      <c r="B9" s="14">
        <v>55</v>
      </c>
      <c r="C9" s="14">
        <v>55</v>
      </c>
      <c r="D9" s="14">
        <v>55</v>
      </c>
      <c r="E9" s="14">
        <v>55</v>
      </c>
      <c r="F9" s="14">
        <v>61.3</v>
      </c>
      <c r="G9" s="14">
        <v>60</v>
      </c>
      <c r="H9" s="14">
        <v>60</v>
      </c>
      <c r="I9" s="14">
        <v>60</v>
      </c>
      <c r="J9" s="14">
        <v>60</v>
      </c>
      <c r="K9" s="13">
        <v>60</v>
      </c>
      <c r="L9" s="13">
        <v>60</v>
      </c>
      <c r="M9" s="13">
        <v>60</v>
      </c>
    </row>
    <row r="10" spans="1:13" x14ac:dyDescent="0.3">
      <c r="A10" s="2" t="s">
        <v>17</v>
      </c>
      <c r="B10" s="13">
        <v>0</v>
      </c>
      <c r="C10" s="14">
        <v>283</v>
      </c>
      <c r="D10" s="14">
        <v>283</v>
      </c>
      <c r="E10" s="14">
        <v>283</v>
      </c>
      <c r="F10" s="14">
        <v>283</v>
      </c>
      <c r="G10" s="14">
        <v>283</v>
      </c>
      <c r="H10" s="14">
        <v>283</v>
      </c>
      <c r="I10" s="14">
        <v>283</v>
      </c>
      <c r="J10" s="14">
        <v>283</v>
      </c>
      <c r="K10" s="13">
        <v>283</v>
      </c>
      <c r="L10" s="13">
        <v>283</v>
      </c>
      <c r="M10" s="13">
        <v>283</v>
      </c>
    </row>
    <row r="11" spans="1:13" x14ac:dyDescent="0.3">
      <c r="A11" s="2" t="s">
        <v>18</v>
      </c>
      <c r="B11" s="13">
        <v>0</v>
      </c>
      <c r="C11" s="13">
        <v>0</v>
      </c>
      <c r="D11" s="13"/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</row>
    <row r="12" spans="1:13" x14ac:dyDescent="0.3">
      <c r="A12" s="2" t="s">
        <v>19</v>
      </c>
      <c r="B12" s="13">
        <v>0</v>
      </c>
      <c r="C12" s="14">
        <v>668.8</v>
      </c>
      <c r="D12" s="14">
        <v>668.8</v>
      </c>
      <c r="E12" s="14">
        <v>668.8</v>
      </c>
      <c r="F12" s="14">
        <v>668.8</v>
      </c>
      <c r="G12" s="14">
        <v>668.8</v>
      </c>
      <c r="H12" s="14">
        <v>668.8</v>
      </c>
      <c r="I12" s="14">
        <v>668.8</v>
      </c>
      <c r="J12" s="13">
        <v>668.8</v>
      </c>
      <c r="K12" s="13">
        <v>668.8</v>
      </c>
      <c r="L12" s="13">
        <v>668.8</v>
      </c>
      <c r="M12" s="13">
        <v>668.8</v>
      </c>
    </row>
    <row r="13" spans="1:13" x14ac:dyDescent="0.3">
      <c r="A13" s="2" t="s">
        <v>15</v>
      </c>
      <c r="B13" s="13">
        <v>0</v>
      </c>
      <c r="C13" s="14">
        <v>223.9</v>
      </c>
      <c r="D13" s="14">
        <v>223.9</v>
      </c>
      <c r="E13" s="14">
        <v>223.9</v>
      </c>
      <c r="F13" s="14">
        <v>223.9</v>
      </c>
      <c r="G13" s="14">
        <v>223.9</v>
      </c>
      <c r="H13" s="14">
        <v>223.9</v>
      </c>
      <c r="I13" s="14">
        <v>223.9</v>
      </c>
      <c r="J13" s="13">
        <v>223.9</v>
      </c>
      <c r="K13" s="13">
        <v>223.9</v>
      </c>
      <c r="L13" s="13">
        <v>223.9</v>
      </c>
      <c r="M13" s="13">
        <v>223.9</v>
      </c>
    </row>
    <row r="14" spans="1:13" x14ac:dyDescent="0.3">
      <c r="A14" s="2" t="s">
        <v>20</v>
      </c>
      <c r="B14" s="14">
        <v>3359.41</v>
      </c>
      <c r="C14" s="14">
        <v>3359.41</v>
      </c>
      <c r="D14" s="14">
        <v>3359.41</v>
      </c>
      <c r="E14" s="14">
        <v>3359.41</v>
      </c>
      <c r="F14" s="14">
        <v>3359.41</v>
      </c>
      <c r="G14" s="14">
        <v>3359.41</v>
      </c>
      <c r="H14" s="14">
        <v>3359.41</v>
      </c>
      <c r="I14" s="14">
        <v>3359.41</v>
      </c>
      <c r="J14" s="14">
        <v>3359.41</v>
      </c>
      <c r="K14" s="13">
        <v>3359.41</v>
      </c>
      <c r="L14" s="13">
        <v>3359.41</v>
      </c>
      <c r="M14" s="13">
        <v>3359.41</v>
      </c>
    </row>
    <row r="15" spans="1:13" x14ac:dyDescent="0.3">
      <c r="A15" s="2" t="s">
        <v>28</v>
      </c>
      <c r="B15" s="13">
        <v>0</v>
      </c>
      <c r="C15" s="13">
        <v>0</v>
      </c>
      <c r="D15" s="13">
        <v>0</v>
      </c>
      <c r="E15" s="13">
        <v>0</v>
      </c>
      <c r="F15" s="14">
        <v>101</v>
      </c>
      <c r="G15" s="13">
        <v>0</v>
      </c>
      <c r="H15" s="14">
        <v>100.01</v>
      </c>
      <c r="I15" s="14">
        <v>100.01</v>
      </c>
      <c r="J15" s="14">
        <v>100.01</v>
      </c>
      <c r="K15" s="13">
        <v>100.01</v>
      </c>
      <c r="L15" s="13">
        <v>100.01</v>
      </c>
      <c r="M15" s="13">
        <v>100.01</v>
      </c>
    </row>
    <row r="16" spans="1:13" x14ac:dyDescent="0.3">
      <c r="A16" s="2" t="s">
        <v>27</v>
      </c>
      <c r="B16" s="13"/>
      <c r="C16" s="13"/>
      <c r="D16" s="13"/>
      <c r="E16" s="13"/>
      <c r="F16" s="14">
        <v>492.24</v>
      </c>
      <c r="G16" s="13">
        <v>0</v>
      </c>
      <c r="H16" s="14">
        <v>519.59</v>
      </c>
      <c r="I16" s="14">
        <v>526.12</v>
      </c>
      <c r="J16" s="13">
        <v>0</v>
      </c>
      <c r="K16" s="13">
        <v>0</v>
      </c>
      <c r="L16" s="13">
        <v>0</v>
      </c>
      <c r="M16" s="13">
        <v>0</v>
      </c>
    </row>
    <row r="17" spans="1:13" x14ac:dyDescent="0.3">
      <c r="A17" s="2" t="s">
        <v>26</v>
      </c>
      <c r="B17" s="13"/>
      <c r="C17" s="13"/>
      <c r="D17" s="13"/>
      <c r="E17" s="13"/>
      <c r="F17" s="14">
        <v>240</v>
      </c>
      <c r="G17" s="13">
        <v>0</v>
      </c>
      <c r="H17" s="14">
        <v>124</v>
      </c>
      <c r="I17" s="14">
        <v>301.62</v>
      </c>
      <c r="J17" s="13">
        <v>0</v>
      </c>
      <c r="K17" s="13">
        <v>0</v>
      </c>
      <c r="L17" s="13">
        <v>0</v>
      </c>
      <c r="M17" s="13">
        <v>0</v>
      </c>
    </row>
    <row r="18" spans="1:13" x14ac:dyDescent="0.3">
      <c r="A18" s="2" t="s">
        <v>21</v>
      </c>
      <c r="B18" s="13">
        <v>0</v>
      </c>
      <c r="C18" s="13">
        <v>0</v>
      </c>
      <c r="D18" s="13">
        <v>0</v>
      </c>
      <c r="E18" s="13">
        <v>0</v>
      </c>
      <c r="F18" s="13"/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 spans="1:13" x14ac:dyDescent="0.3">
      <c r="A19" s="2" t="s">
        <v>32</v>
      </c>
      <c r="B19" s="14">
        <v>240</v>
      </c>
      <c r="C19" s="14">
        <v>240</v>
      </c>
      <c r="D19" s="14">
        <v>240</v>
      </c>
      <c r="E19" s="14">
        <v>240</v>
      </c>
      <c r="F19" s="13">
        <v>240</v>
      </c>
      <c r="G19" s="14">
        <v>240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</row>
    <row r="20" spans="1:13" x14ac:dyDescent="0.3">
      <c r="A20" s="2" t="s">
        <v>29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 spans="1:13" x14ac:dyDescent="0.3">
      <c r="A21" s="2" t="s">
        <v>35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4">
        <v>124.75</v>
      </c>
      <c r="I21" s="14">
        <v>124.75</v>
      </c>
      <c r="J21" s="14">
        <v>124.75</v>
      </c>
      <c r="K21" s="13">
        <v>124.75</v>
      </c>
      <c r="L21" s="13">
        <v>124.75</v>
      </c>
      <c r="M21" s="13">
        <v>124.75</v>
      </c>
    </row>
    <row r="22" spans="1:13" x14ac:dyDescent="0.3">
      <c r="A22" s="2" t="s">
        <v>22</v>
      </c>
      <c r="B22" s="13">
        <v>0</v>
      </c>
      <c r="C22" s="13">
        <v>0</v>
      </c>
      <c r="D22" s="13">
        <v>0</v>
      </c>
      <c r="E22" s="13">
        <v>0</v>
      </c>
      <c r="F22" s="13">
        <v>54</v>
      </c>
      <c r="G22" s="13">
        <v>0</v>
      </c>
      <c r="H22" s="13">
        <v>0</v>
      </c>
      <c r="I22" s="13">
        <v>0</v>
      </c>
      <c r="J22" s="14">
        <v>400</v>
      </c>
      <c r="K22" s="13">
        <v>0</v>
      </c>
      <c r="L22" s="13">
        <v>0</v>
      </c>
      <c r="M22" s="13">
        <v>0</v>
      </c>
    </row>
    <row r="23" spans="1:13" x14ac:dyDescent="0.3">
      <c r="A23" s="2" t="s">
        <v>31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</row>
    <row r="24" spans="1:13" x14ac:dyDescent="0.3">
      <c r="A24" s="2"/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 spans="1:13" x14ac:dyDescent="0.3">
      <c r="B25" s="8"/>
      <c r="C25" s="9"/>
      <c r="D25" s="8"/>
      <c r="E25" s="8"/>
      <c r="F25" s="8"/>
      <c r="G25" s="10"/>
      <c r="H25" s="8"/>
      <c r="I25" s="8"/>
      <c r="J25" s="8"/>
      <c r="K25" s="8"/>
      <c r="L25" s="11"/>
      <c r="M25" s="8"/>
    </row>
    <row r="26" spans="1:13" x14ac:dyDescent="0.3">
      <c r="A26" s="2" t="s">
        <v>23</v>
      </c>
      <c r="B26" s="5">
        <f>SUM(B4:B25)</f>
        <v>9360.61</v>
      </c>
      <c r="C26" s="5">
        <f>SUM(C4:C24)</f>
        <v>11422.31</v>
      </c>
      <c r="D26" s="5">
        <f t="shared" ref="D26:M26" si="0">SUM(D4:D25)</f>
        <v>12822.31</v>
      </c>
      <c r="E26" s="5">
        <f t="shared" si="0"/>
        <v>11980.31</v>
      </c>
      <c r="F26" s="5">
        <f t="shared" si="0"/>
        <v>12643.6</v>
      </c>
      <c r="G26" s="5">
        <f t="shared" si="0"/>
        <v>12217.31</v>
      </c>
      <c r="H26" s="5">
        <f t="shared" si="0"/>
        <v>8593.4599999999991</v>
      </c>
      <c r="I26" s="5">
        <f t="shared" si="0"/>
        <v>8852.61</v>
      </c>
      <c r="J26" s="5">
        <f t="shared" si="0"/>
        <v>10587.87</v>
      </c>
      <c r="K26" s="5">
        <f t="shared" si="0"/>
        <v>5324.87</v>
      </c>
      <c r="L26" s="5">
        <f t="shared" si="0"/>
        <v>5324.87</v>
      </c>
      <c r="M26" s="5">
        <f t="shared" si="0"/>
        <v>5324.87</v>
      </c>
    </row>
    <row r="27" spans="1:13" x14ac:dyDescent="0.3">
      <c r="A27" s="2" t="s">
        <v>24</v>
      </c>
      <c r="B27" s="5">
        <v>6820</v>
      </c>
      <c r="C27" s="5">
        <v>6770</v>
      </c>
      <c r="D27" s="5">
        <v>6720.9</v>
      </c>
      <c r="E27" s="5">
        <v>6678.93</v>
      </c>
      <c r="F27" s="5">
        <v>6800</v>
      </c>
      <c r="G27" s="5">
        <v>6800</v>
      </c>
      <c r="H27" s="5">
        <v>6568.74</v>
      </c>
      <c r="I27" s="5">
        <v>6823</v>
      </c>
      <c r="J27" s="5">
        <v>5100</v>
      </c>
      <c r="K27" s="5">
        <v>5100</v>
      </c>
      <c r="L27" s="5">
        <v>5100</v>
      </c>
      <c r="M27" s="5">
        <v>6990</v>
      </c>
    </row>
    <row r="28" spans="1:13" x14ac:dyDescent="0.3">
      <c r="A28" s="2" t="s">
        <v>25</v>
      </c>
      <c r="B28" s="5">
        <f t="shared" ref="B28:M28" si="1">B27-B26</f>
        <v>-2540.6100000000006</v>
      </c>
      <c r="C28" s="5">
        <f t="shared" si="1"/>
        <v>-4652.3099999999995</v>
      </c>
      <c r="D28" s="5">
        <f t="shared" si="1"/>
        <v>-6101.41</v>
      </c>
      <c r="E28" s="5">
        <f t="shared" si="1"/>
        <v>-5301.3799999999992</v>
      </c>
      <c r="F28" s="5">
        <f t="shared" si="1"/>
        <v>-5843.6</v>
      </c>
      <c r="G28" s="5">
        <f t="shared" si="1"/>
        <v>-5417.3099999999995</v>
      </c>
      <c r="H28" s="6">
        <f t="shared" si="1"/>
        <v>-2024.7199999999993</v>
      </c>
      <c r="I28" s="5">
        <f t="shared" si="1"/>
        <v>-2029.6100000000006</v>
      </c>
      <c r="J28" s="5">
        <f t="shared" si="1"/>
        <v>-5487.8700000000008</v>
      </c>
      <c r="K28" s="5">
        <f t="shared" si="1"/>
        <v>-224.86999999999989</v>
      </c>
      <c r="L28" s="5">
        <f t="shared" si="1"/>
        <v>-224.86999999999989</v>
      </c>
      <c r="M28" s="5">
        <f t="shared" si="1"/>
        <v>1665.13</v>
      </c>
    </row>
    <row r="29" spans="1:13" x14ac:dyDescent="0.3">
      <c r="G29" s="4"/>
      <c r="H29" s="3"/>
      <c r="I29" s="3"/>
    </row>
    <row r="30" spans="1:13" x14ac:dyDescent="0.3">
      <c r="G30" s="4"/>
    </row>
    <row r="31" spans="1:13" x14ac:dyDescent="0.3">
      <c r="G31" s="4"/>
    </row>
    <row r="39" spans="5:7" x14ac:dyDescent="0.3">
      <c r="G39" s="4"/>
    </row>
    <row r="40" spans="5:7" x14ac:dyDescent="0.3">
      <c r="G40" s="4"/>
    </row>
    <row r="41" spans="5:7" x14ac:dyDescent="0.3">
      <c r="G41" s="3"/>
    </row>
    <row r="42" spans="5:7" x14ac:dyDescent="0.3">
      <c r="E42" s="7"/>
    </row>
    <row r="43" spans="5:7" x14ac:dyDescent="0.3">
      <c r="G43" s="4"/>
    </row>
    <row r="44" spans="5:7" x14ac:dyDescent="0.3">
      <c r="G44" s="4"/>
    </row>
    <row r="45" spans="5:7" x14ac:dyDescent="0.3">
      <c r="G45" s="4"/>
    </row>
    <row r="46" spans="5:7" x14ac:dyDescent="0.3">
      <c r="G46" s="4"/>
    </row>
    <row r="47" spans="5:7" x14ac:dyDescent="0.3">
      <c r="G47" s="3"/>
    </row>
    <row r="49" spans="6:7" x14ac:dyDescent="0.3">
      <c r="F49" s="7"/>
      <c r="G49" s="4"/>
    </row>
    <row r="50" spans="6:7" x14ac:dyDescent="0.3">
      <c r="G50" s="4"/>
    </row>
    <row r="51" spans="6:7" x14ac:dyDescent="0.3">
      <c r="G51" s="3"/>
    </row>
  </sheetData>
  <autoFilter ref="A3:M24" xr:uid="{3C0B779D-3739-4CDD-8C77-77EF31E9A2E9}"/>
  <mergeCells count="1">
    <mergeCell ref="A1:M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76E6CF1-DD8B-4099-8ADF-5081628958B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"0+$D$26"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D28:M28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Dantas</dc:creator>
  <cp:keywords/>
  <dc:description/>
  <cp:lastModifiedBy>André Dantas</cp:lastModifiedBy>
  <cp:revision/>
  <dcterms:created xsi:type="dcterms:W3CDTF">2023-10-20T14:15:57Z</dcterms:created>
  <dcterms:modified xsi:type="dcterms:W3CDTF">2026-09-03T15:56:31Z</dcterms:modified>
  <cp:category/>
  <cp:contentStatus/>
</cp:coreProperties>
</file>